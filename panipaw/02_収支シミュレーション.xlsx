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初期投資" sheetId="2" state="visible" r:id="rId2"/>
    <sheet name="月次収支" sheetId="3" state="visible" r:id="rId3"/>
    <sheet name="損益分岐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&quot;円&quot;"/>
    <numFmt numFmtId="166" formatCode="0.0&quot;人&quot;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E8F0E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3" fontId="0" fillId="4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0" borderId="1" pivotButton="0" quotePrefix="0" xfId="0"/>
    <xf numFmtId="0" fontId="2" fillId="0" borderId="1" pivotButton="0" quotePrefix="0" xfId="0"/>
    <xf numFmtId="165" fontId="2" fillId="3" borderId="1" pivotButton="0" quotePrefix="0" xfId="0"/>
    <xf numFmtId="164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4" customWidth="1" min="3" max="3"/>
  </cols>
  <sheetData>
    <row r="1">
      <c r="A1" s="1" t="inlineStr">
        <is>
          <t>前提条件(黄色セルを差し替えると全シートが再計算されます)</t>
        </is>
      </c>
    </row>
    <row r="2">
      <c r="A2" s="2" t="inlineStr">
        <is>
          <t>項目</t>
        </is>
      </c>
      <c r="B2" s="2" t="inlineStr">
        <is>
          <t>値</t>
        </is>
      </c>
      <c r="C2" s="2" t="inlineStr">
        <is>
          <t>備考</t>
        </is>
      </c>
    </row>
    <row r="3">
      <c r="A3" s="3" t="inlineStr">
        <is>
          <t>客単価(円)</t>
        </is>
      </c>
      <c r="B3" s="4" t="n">
        <v>900</v>
      </c>
      <c r="C3" s="3" t="inlineStr">
        <is>
          <t>【仮】ポップアップのテストマーケで確定</t>
        </is>
      </c>
    </row>
    <row r="4">
      <c r="A4" s="3" t="inlineStr">
        <is>
          <t>営業日数(日/月)</t>
        </is>
      </c>
      <c r="B4" s="4" t="n">
        <v>22</v>
      </c>
      <c r="C4" s="3" t="inlineStr">
        <is>
          <t>【仮】週5営業想定</t>
        </is>
      </c>
    </row>
    <row r="5">
      <c r="A5" s="3" t="inlineStr">
        <is>
          <t>客数/日:保守シナリオ</t>
        </is>
      </c>
      <c r="B5" s="5" t="n">
        <v>25</v>
      </c>
      <c r="C5" s="3" t="inlineStr">
        <is>
          <t>【仮】</t>
        </is>
      </c>
    </row>
    <row r="6">
      <c r="A6" s="3" t="inlineStr">
        <is>
          <t>客数/日:標準シナリオ</t>
        </is>
      </c>
      <c r="B6" s="5" t="n">
        <v>40</v>
      </c>
      <c r="C6" s="3" t="inlineStr">
        <is>
          <t>【仮】</t>
        </is>
      </c>
    </row>
    <row r="7">
      <c r="A7" s="3" t="inlineStr">
        <is>
          <t>客数/日:強気シナリオ</t>
        </is>
      </c>
      <c r="B7" s="5" t="n">
        <v>60</v>
      </c>
      <c r="C7" s="3" t="inlineStr">
        <is>
          <t>【仮】</t>
        </is>
      </c>
    </row>
    <row r="8">
      <c r="A8" s="3" t="inlineStr">
        <is>
          <t>原価率</t>
        </is>
      </c>
      <c r="B8" s="6" t="n">
        <v>0.32</v>
      </c>
      <c r="C8" s="3" t="inlineStr">
        <is>
          <t>【仮】カフェ・軽食業態の一般的水準</t>
        </is>
      </c>
    </row>
    <row r="9">
      <c r="A9" s="3" t="inlineStr">
        <is>
          <t>土地代(月)</t>
        </is>
      </c>
      <c r="B9" s="4" t="n">
        <v>30000</v>
      </c>
      <c r="C9" s="3" t="inlineStr">
        <is>
          <t>【仮】自社・家族所有地なら0に変更</t>
        </is>
      </c>
    </row>
    <row r="10">
      <c r="A10" s="3" t="inlineStr">
        <is>
          <t>保恵さん給与(月)</t>
        </is>
      </c>
      <c r="B10" s="4" t="n">
        <v>200000</v>
      </c>
      <c r="C10" s="3" t="inlineStr">
        <is>
          <t>【仮】専業化後</t>
        </is>
      </c>
    </row>
    <row r="11">
      <c r="A11" s="3" t="inlineStr">
        <is>
          <t>美慧さん謝礼(月)</t>
        </is>
      </c>
      <c r="B11" s="4" t="n">
        <v>30000</v>
      </c>
      <c r="C11" s="3" t="inlineStr">
        <is>
          <t>【仮】週末ヘルプ想定</t>
        </is>
      </c>
    </row>
    <row r="12">
      <c r="A12" s="3" t="inlineStr">
        <is>
          <t>水道光熱費(月)</t>
        </is>
      </c>
      <c r="B12" s="4" t="n">
        <v>30000</v>
      </c>
      <c r="C12" s="3" t="inlineStr">
        <is>
          <t>【仮】3坪・電化厨房</t>
        </is>
      </c>
    </row>
    <row r="13">
      <c r="A13" s="3" t="inlineStr">
        <is>
          <t>通信・レジ(月)</t>
        </is>
      </c>
      <c r="B13" s="4" t="n">
        <v>10000</v>
      </c>
      <c r="C13" s="3" t="inlineStr">
        <is>
          <t>【仮】iPadレジ・回線</t>
        </is>
      </c>
    </row>
    <row r="14">
      <c r="A14" s="3" t="inlineStr">
        <is>
          <t>消耗品・雑費(月)</t>
        </is>
      </c>
      <c r="B14" s="4" t="n">
        <v>20000</v>
      </c>
      <c r="C14" s="3" t="inlineStr">
        <is>
          <t>【仮】</t>
        </is>
      </c>
    </row>
    <row r="15">
      <c r="A15" s="3" t="inlineStr">
        <is>
          <t>販促費(月)</t>
        </is>
      </c>
      <c r="B15" s="4" t="n">
        <v>20000</v>
      </c>
      <c r="C15" s="3" t="inlineStr">
        <is>
          <t>【仮】SNS広告・印刷物</t>
        </is>
      </c>
    </row>
    <row r="16">
      <c r="A16" s="3" t="inlineStr">
        <is>
          <t>保険・その他(月)</t>
        </is>
      </c>
      <c r="B16" s="4" t="n">
        <v>10000</v>
      </c>
      <c r="C16" s="3" t="inlineStr">
        <is>
          <t>【仮】</t>
        </is>
      </c>
    </row>
    <row r="17">
      <c r="A17" s="3" t="inlineStr">
        <is>
          <t>借入額(光和工業からの貸付)</t>
        </is>
      </c>
      <c r="B17" s="4" t="n">
        <v>5000000</v>
      </c>
      <c r="C17" s="3" t="inlineStr">
        <is>
          <t>【仮】出資構造の確定で変更</t>
        </is>
      </c>
    </row>
    <row r="18">
      <c r="A18" s="3" t="inlineStr">
        <is>
          <t>借入年利</t>
        </is>
      </c>
      <c r="B18" s="6" t="n">
        <v>0.015</v>
      </c>
      <c r="C18" s="3" t="inlineStr">
        <is>
          <t>【仮】市中金利並み</t>
        </is>
      </c>
    </row>
    <row r="19">
      <c r="A19" s="3" t="inlineStr">
        <is>
          <t>返済年数</t>
        </is>
      </c>
      <c r="B19" s="5" t="n">
        <v>5</v>
      </c>
      <c r="C19" s="3" t="inlineStr">
        <is>
          <t>【仮】据置期間なし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46" customWidth="1" min="3" max="3"/>
  </cols>
  <sheetData>
    <row r="1">
      <c r="A1" s="1" t="inlineStr">
        <is>
          <t>初期投資計画(【仮】上限イメージ500万円で設定)</t>
        </is>
      </c>
    </row>
    <row r="2">
      <c r="A2" s="2" t="inlineStr">
        <is>
          <t>項目</t>
        </is>
      </c>
      <c r="B2" s="2" t="inlineStr">
        <is>
          <t>金額</t>
        </is>
      </c>
      <c r="C2" s="2" t="inlineStr">
        <is>
          <t>備考</t>
        </is>
      </c>
    </row>
    <row r="3">
      <c r="A3" s="3" t="inlineStr">
        <is>
          <t>コンテナ本体</t>
        </is>
      </c>
      <c r="B3" s="7" t="n">
        <v>0</v>
      </c>
      <c r="C3" s="3" t="inlineStr">
        <is>
          <t>無料入手済み</t>
        </is>
      </c>
    </row>
    <row r="4">
      <c r="A4" s="3" t="inlineStr">
        <is>
          <t>コンテナ改装工事(断熱・内装・電気・給排水)</t>
        </is>
      </c>
      <c r="B4" s="7" t="n">
        <v>2500000</v>
      </c>
      <c r="C4" s="3" t="inlineStr">
        <is>
          <t>【仮】保健所基準対応込み。光和工業の知見で圧縮余地あり</t>
        </is>
      </c>
    </row>
    <row r="5">
      <c r="A5" s="3" t="inlineStr">
        <is>
          <t>パニーニクッカー 1連式 PC-10</t>
        </is>
      </c>
      <c r="B5" s="7" t="n">
        <v>168000</v>
      </c>
      <c r="C5" s="3" t="inlineStr">
        <is>
          <t>ノート備品リストの実価格</t>
        </is>
      </c>
    </row>
    <row r="6">
      <c r="A6" s="3" t="inlineStr">
        <is>
          <t>ハリオ コーヒーサイフォン テクニカ TCAR-5</t>
        </is>
      </c>
      <c r="B6" s="7" t="n">
        <v>12000</v>
      </c>
      <c r="C6" s="3" t="inlineStr">
        <is>
          <t>ノート備品リストの実価格</t>
        </is>
      </c>
    </row>
    <row r="7">
      <c r="A7" s="3" t="inlineStr">
        <is>
          <t>エスプレッソマシン・グラインダー</t>
        </is>
      </c>
      <c r="B7" s="7" t="n">
        <v>300000</v>
      </c>
      <c r="C7" s="3" t="inlineStr">
        <is>
          <t>【仮】中古・リース検討で圧縮余地あり</t>
        </is>
      </c>
    </row>
    <row r="8">
      <c r="A8" s="3" t="inlineStr">
        <is>
          <t>冷蔵・冷凍庫</t>
        </is>
      </c>
      <c r="B8" s="7" t="n">
        <v>250000</v>
      </c>
      <c r="C8" s="3" t="inlineStr">
        <is>
          <t>【仮】</t>
        </is>
      </c>
    </row>
    <row r="9">
      <c r="A9" s="3" t="inlineStr">
        <is>
          <t>シンク・作業台・給湯設備</t>
        </is>
      </c>
      <c r="B9" s="7" t="n">
        <v>200000</v>
      </c>
      <c r="C9" s="3" t="inlineStr">
        <is>
          <t>【仮】保健所基準(2槽シンク等)要確認</t>
        </is>
      </c>
    </row>
    <row r="10">
      <c r="A10" s="3" t="inlineStr">
        <is>
          <t>外構(ウッドデッキ・テラス・アニマルフレンドエリア)</t>
        </is>
      </c>
      <c r="B10" s="7" t="n">
        <v>600000</v>
      </c>
      <c r="C10" s="3" t="inlineStr">
        <is>
          <t>【仮】DIY施工で圧縮余地あり</t>
        </is>
      </c>
    </row>
    <row r="11">
      <c r="A11" s="3" t="inlineStr">
        <is>
          <t>食器・カップ・ストロー等 初期備品</t>
        </is>
      </c>
      <c r="B11" s="7" t="n">
        <v>150000</v>
      </c>
      <c r="C11" s="3" t="inlineStr">
        <is>
          <t>【仮】ノート備品リストより</t>
        </is>
      </c>
    </row>
    <row r="12">
      <c r="A12" s="3" t="inlineStr">
        <is>
          <t>iPadレジ・通信機器</t>
        </is>
      </c>
      <c r="B12" s="7" t="n">
        <v>100000</v>
      </c>
      <c r="C12" s="3" t="inlineStr">
        <is>
          <t>【仮】</t>
        </is>
      </c>
    </row>
    <row r="13">
      <c r="A13" s="3" t="inlineStr">
        <is>
          <t>看板・ロゴ・ショップカード等デザイン</t>
        </is>
      </c>
      <c r="B13" s="7" t="n">
        <v>200000</v>
      </c>
      <c r="C13" s="3" t="inlineStr">
        <is>
          <t>【仮】</t>
        </is>
      </c>
    </row>
    <row r="14">
      <c r="A14" s="3" t="inlineStr">
        <is>
          <t>許認可・講習・保険</t>
        </is>
      </c>
      <c r="B14" s="7" t="n">
        <v>50000</v>
      </c>
      <c r="C14" s="3" t="inlineStr">
        <is>
          <t>食品衛生責任者講習9,900円ほか</t>
        </is>
      </c>
    </row>
    <row r="15">
      <c r="A15" s="3" t="inlineStr">
        <is>
          <t>開業前販促(SNS・フェア出店等)</t>
        </is>
      </c>
      <c r="B15" s="7" t="n">
        <v>100000</v>
      </c>
      <c r="C15" s="3" t="inlineStr">
        <is>
          <t>【仮】</t>
        </is>
      </c>
    </row>
    <row r="16">
      <c r="A16" s="3" t="inlineStr">
        <is>
          <t>予備費</t>
        </is>
      </c>
      <c r="B16" s="7" t="n">
        <v>370000</v>
      </c>
      <c r="C16" s="3" t="inlineStr">
        <is>
          <t>【仮】総額の約7%</t>
        </is>
      </c>
    </row>
    <row r="17">
      <c r="A17" s="8" t="inlineStr">
        <is>
          <t>合計</t>
        </is>
      </c>
      <c r="B17" s="9">
        <f>SUM(B3:B16)</f>
        <v/>
      </c>
      <c r="C17" s="3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月次収支シミュレーション(3シナリオ)</t>
        </is>
      </c>
    </row>
    <row r="2">
      <c r="A2" s="2" t="inlineStr">
        <is>
          <t>項目</t>
        </is>
      </c>
      <c r="B2" s="2" t="inlineStr">
        <is>
          <t>保守</t>
        </is>
      </c>
      <c r="C2" s="2" t="inlineStr">
        <is>
          <t>標準</t>
        </is>
      </c>
      <c r="D2" s="2" t="inlineStr">
        <is>
          <t>強気</t>
        </is>
      </c>
    </row>
    <row r="3">
      <c r="A3" s="3" t="inlineStr">
        <is>
          <t>客数/日</t>
        </is>
      </c>
      <c r="B3" s="3">
        <f>前提条件!$B$5</f>
        <v/>
      </c>
      <c r="C3" s="3">
        <f>前提条件!$B$6</f>
        <v/>
      </c>
      <c r="D3" s="3">
        <f>前提条件!$B$7</f>
        <v/>
      </c>
    </row>
    <row r="4">
      <c r="A4" s="3" t="inlineStr">
        <is>
          <t>売上高</t>
        </is>
      </c>
      <c r="B4" s="7">
        <f>前提条件!$B$3*前提条件!$B$4*B3</f>
        <v/>
      </c>
      <c r="C4" s="7">
        <f>前提条件!$B$3*前提条件!$B$4*C3</f>
        <v/>
      </c>
      <c r="D4" s="7">
        <f>前提条件!$B$3*前提条件!$B$4*D3</f>
        <v/>
      </c>
    </row>
    <row r="5">
      <c r="A5" s="3" t="inlineStr">
        <is>
          <t>売上原価</t>
        </is>
      </c>
      <c r="B5" s="7">
        <f>B4*前提条件!$B$8</f>
        <v/>
      </c>
      <c r="C5" s="7">
        <f>C4*前提条件!$B$8</f>
        <v/>
      </c>
      <c r="D5" s="7">
        <f>D4*前提条件!$B$8</f>
        <v/>
      </c>
    </row>
    <row r="6">
      <c r="A6" s="2" t="inlineStr">
        <is>
          <t>売上総利益(粗利)</t>
        </is>
      </c>
      <c r="B6" s="9">
        <f>B4-B5</f>
        <v/>
      </c>
      <c r="C6" s="9">
        <f>C4-C5</f>
        <v/>
      </c>
      <c r="D6" s="9">
        <f>D4-D5</f>
        <v/>
      </c>
    </row>
    <row r="7">
      <c r="A7" s="3" t="inlineStr">
        <is>
          <t>土地代</t>
        </is>
      </c>
      <c r="B7" s="7">
        <f>前提条件!$B$9</f>
        <v/>
      </c>
      <c r="C7" s="7">
        <f>前提条件!$B$9</f>
        <v/>
      </c>
      <c r="D7" s="7">
        <f>前提条件!$B$9</f>
        <v/>
      </c>
    </row>
    <row r="8">
      <c r="A8" s="3" t="inlineStr">
        <is>
          <t>人件費(保恵さん給与)</t>
        </is>
      </c>
      <c r="B8" s="7">
        <f>前提条件!$B$10</f>
        <v/>
      </c>
      <c r="C8" s="7">
        <f>前提条件!$B$10</f>
        <v/>
      </c>
      <c r="D8" s="7">
        <f>前提条件!$B$10</f>
        <v/>
      </c>
    </row>
    <row r="9">
      <c r="A9" s="3" t="inlineStr">
        <is>
          <t>人件費(美慧さん謝礼)</t>
        </is>
      </c>
      <c r="B9" s="7">
        <f>前提条件!$B$11</f>
        <v/>
      </c>
      <c r="C9" s="7">
        <f>前提条件!$B$11</f>
        <v/>
      </c>
      <c r="D9" s="7">
        <f>前提条件!$B$11</f>
        <v/>
      </c>
    </row>
    <row r="10">
      <c r="A10" s="3" t="inlineStr">
        <is>
          <t>水道光熱費</t>
        </is>
      </c>
      <c r="B10" s="7">
        <f>前提条件!$B$12</f>
        <v/>
      </c>
      <c r="C10" s="7">
        <f>前提条件!$B$12</f>
        <v/>
      </c>
      <c r="D10" s="7">
        <f>前提条件!$B$12</f>
        <v/>
      </c>
    </row>
    <row r="11">
      <c r="A11" s="3" t="inlineStr">
        <is>
          <t>通信・レジ</t>
        </is>
      </c>
      <c r="B11" s="7">
        <f>前提条件!$B$13</f>
        <v/>
      </c>
      <c r="C11" s="7">
        <f>前提条件!$B$13</f>
        <v/>
      </c>
      <c r="D11" s="7">
        <f>前提条件!$B$13</f>
        <v/>
      </c>
    </row>
    <row r="12">
      <c r="A12" s="3" t="inlineStr">
        <is>
          <t>消耗品・雑費</t>
        </is>
      </c>
      <c r="B12" s="7">
        <f>前提条件!$B$14</f>
        <v/>
      </c>
      <c r="C12" s="7">
        <f>前提条件!$B$14</f>
        <v/>
      </c>
      <c r="D12" s="7">
        <f>前提条件!$B$14</f>
        <v/>
      </c>
    </row>
    <row r="13">
      <c r="A13" s="3" t="inlineStr">
        <is>
          <t>販促費</t>
        </is>
      </c>
      <c r="B13" s="7">
        <f>前提条件!$B$15</f>
        <v/>
      </c>
      <c r="C13" s="7">
        <f>前提条件!$B$15</f>
        <v/>
      </c>
      <c r="D13" s="7">
        <f>前提条件!$B$15</f>
        <v/>
      </c>
    </row>
    <row r="14">
      <c r="A14" s="3" t="inlineStr">
        <is>
          <t>保険・その他</t>
        </is>
      </c>
      <c r="B14" s="7">
        <f>前提条件!$B$16</f>
        <v/>
      </c>
      <c r="C14" s="7">
        <f>前提条件!$B$16</f>
        <v/>
      </c>
      <c r="D14" s="7">
        <f>前提条件!$B$16</f>
        <v/>
      </c>
    </row>
    <row r="15">
      <c r="A15" s="2" t="inlineStr">
        <is>
          <t>固定費計</t>
        </is>
      </c>
      <c r="B15" s="9">
        <f>SUM(B7:B14)</f>
        <v/>
      </c>
      <c r="C15" s="9">
        <f>SUM(C7:C14)</f>
        <v/>
      </c>
      <c r="D15" s="9">
        <f>SUM(D7:D14)</f>
        <v/>
      </c>
    </row>
    <row r="16">
      <c r="A16" s="2" t="inlineStr">
        <is>
          <t>営業利益</t>
        </is>
      </c>
      <c r="B16" s="9">
        <f>B6-B15</f>
        <v/>
      </c>
      <c r="C16" s="9">
        <f>C6-C15</f>
        <v/>
      </c>
      <c r="D16" s="9">
        <f>D6-D15</f>
        <v/>
      </c>
    </row>
    <row r="17">
      <c r="A17" s="3" t="inlineStr">
        <is>
          <t>借入返済(元利均等・月額)</t>
        </is>
      </c>
      <c r="B17" s="7">
        <f>-PMT(前提条件!$B$18/12,前提条件!$B$19*12,前提条件!$B$17)</f>
        <v/>
      </c>
      <c r="C17" s="7">
        <f>-PMT(前提条件!$B$18/12,前提条件!$B$19*12,前提条件!$B$17)</f>
        <v/>
      </c>
      <c r="D17" s="7">
        <f>-PMT(前提条件!$B$18/12,前提条件!$B$19*12,前提条件!$B$17)</f>
        <v/>
      </c>
    </row>
    <row r="18">
      <c r="A18" s="2" t="inlineStr">
        <is>
          <t>返済後キャッシュ</t>
        </is>
      </c>
      <c r="B18" s="9">
        <f>B16-B17</f>
        <v/>
      </c>
      <c r="C18" s="9">
        <f>C16-C17</f>
        <v/>
      </c>
      <c r="D18" s="9">
        <f>D16-D17</f>
        <v/>
      </c>
    </row>
    <row r="19">
      <c r="A19" s="3" t="inlineStr">
        <is>
          <t>年間営業利益</t>
        </is>
      </c>
      <c r="B19" s="7">
        <f>B16*12</f>
        <v/>
      </c>
      <c r="C19" s="7">
        <f>C16*12</f>
        <v/>
      </c>
      <c r="D19" s="7">
        <f>D16*12</f>
        <v/>
      </c>
    </row>
    <row r="20">
      <c r="A20" s="3" t="inlineStr">
        <is>
          <t>年間返済後キャッシュ</t>
        </is>
      </c>
      <c r="B20" s="7">
        <f>B18*12</f>
        <v/>
      </c>
      <c r="C20" s="7">
        <f>C18*12</f>
        <v/>
      </c>
      <c r="D20" s="7">
        <f>D18*12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</cols>
  <sheetData>
    <row r="1">
      <c r="A1" s="1" t="inlineStr">
        <is>
          <t>損益分岐点分析</t>
        </is>
      </c>
    </row>
    <row r="2">
      <c r="A2" s="2" t="inlineStr">
        <is>
          <t>項目</t>
        </is>
      </c>
      <c r="B2" s="2" t="inlineStr">
        <is>
          <t>値</t>
        </is>
      </c>
      <c r="C2" s="2" t="inlineStr">
        <is>
          <t>計算式</t>
        </is>
      </c>
    </row>
    <row r="3">
      <c r="A3" s="3" t="inlineStr">
        <is>
          <t>固定費(月)</t>
        </is>
      </c>
      <c r="B3" s="7">
        <f>月次収支!B15</f>
        <v/>
      </c>
      <c r="C3" s="3" t="inlineStr">
        <is>
          <t>月次収支の固定費計</t>
        </is>
      </c>
    </row>
    <row r="4">
      <c r="A4" s="3" t="inlineStr">
        <is>
          <t>粗利率</t>
        </is>
      </c>
      <c r="B4" s="10">
        <f>1-前提条件!$B$8</f>
        <v/>
      </c>
      <c r="C4" s="3" t="inlineStr">
        <is>
          <t>1-原価率</t>
        </is>
      </c>
    </row>
    <row r="5">
      <c r="A5" s="3" t="inlineStr">
        <is>
          <t>借入返済(月)</t>
        </is>
      </c>
      <c r="B5" s="7">
        <f>月次収支!B17</f>
        <v/>
      </c>
      <c r="C5" s="3" t="inlineStr">
        <is>
          <t>元利均等月額</t>
        </is>
      </c>
    </row>
    <row r="6">
      <c r="A6" s="3" t="inlineStr">
        <is>
          <t>損益分岐点 月商(営業ベース)</t>
        </is>
      </c>
      <c r="B6" s="7">
        <f>B3/B4</f>
        <v/>
      </c>
      <c r="C6" s="3" t="inlineStr">
        <is>
          <t>固定費÷粗利率</t>
        </is>
      </c>
    </row>
    <row r="7">
      <c r="A7" s="3" t="inlineStr">
        <is>
          <t>損益分岐点 客数/日(営業ベース)</t>
        </is>
      </c>
      <c r="B7" s="11">
        <f>B6/前提条件!$B$3/前提条件!$B$4</f>
        <v/>
      </c>
      <c r="C7" s="3" t="inlineStr">
        <is>
          <t>月商÷客単価÷営業日数</t>
        </is>
      </c>
    </row>
    <row r="8">
      <c r="A8" s="3" t="inlineStr">
        <is>
          <t>損益分岐点 月商(返済込み)</t>
        </is>
      </c>
      <c r="B8" s="7">
        <f>(B3+B5)/B4</f>
        <v/>
      </c>
      <c r="C8" s="3" t="inlineStr">
        <is>
          <t>(固定費+返済)÷粗利率</t>
        </is>
      </c>
    </row>
    <row r="9">
      <c r="A9" s="3" t="inlineStr">
        <is>
          <t>損益分岐点 客数/日(返済込み)</t>
        </is>
      </c>
      <c r="B9" s="11">
        <f>B8/前提条件!$B$3/前提条件!$B$4</f>
        <v/>
      </c>
      <c r="C9" s="3" t="inlineStr">
        <is>
          <t>月商÷客単価÷営業日数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2026-07-05T01:35:44Z</dcterms:created>
  <dcterms:modified xsi:type="dcterms:W3CDTF">2026-07-05T01:35:44Z</dcterms:modified>
</cp:coreProperties>
</file>